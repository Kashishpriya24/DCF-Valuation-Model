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sh Priya\OneDrive\Desktop\"/>
    </mc:Choice>
  </mc:AlternateContent>
  <xr:revisionPtr revIDLastSave="0" documentId="13_ncr:1_{9207A9AE-6B84-48B3-BC95-C9EC34B488A8}" xr6:coauthVersionLast="47" xr6:coauthVersionMax="47" xr10:uidLastSave="{00000000-0000-0000-0000-000000000000}"/>
  <bookViews>
    <workbookView xWindow="-108" yWindow="-108" windowWidth="23256" windowHeight="12456" activeTab="4" xr2:uid="{CE0AAD4C-7A78-4A58-9425-2B8EF0D725B5}"/>
  </bookViews>
  <sheets>
    <sheet name="DCF Model" sheetId="1" r:id="rId1"/>
    <sheet name="Sensitivity Analysis" sheetId="2" r:id="rId2"/>
    <sheet name="Goal Seek" sheetId="3" r:id="rId3"/>
    <sheet name="Scenario Analysis" sheetId="4" r:id="rId4"/>
    <sheet name="Forecasting" sheetId="5" r:id="rId5"/>
  </sheets>
  <definedNames>
    <definedName name="solver_adj" localSheetId="2" hidden="1">'Goal Seek'!$C$5:$C$6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'Goal Seek'!$C$5</definedName>
    <definedName name="solver_lhs2" localSheetId="2" hidden="1">'Goal Seek'!$C$6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'Goal Seek'!$F$11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'Goal Seek'!$C$16</definedName>
    <definedName name="solver_rhs2" localSheetId="2" hidden="1">'Goal Seek'!$C$17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100000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5" l="1"/>
  <c r="G26" i="5"/>
  <c r="G27" i="5"/>
  <c r="G28" i="5"/>
  <c r="G29" i="5"/>
  <c r="G30" i="5"/>
  <c r="G31" i="5"/>
  <c r="G24" i="5"/>
  <c r="F25" i="5"/>
  <c r="F26" i="5"/>
  <c r="F27" i="5"/>
  <c r="F28" i="5"/>
  <c r="F29" i="5"/>
  <c r="F30" i="5"/>
  <c r="F31" i="5"/>
  <c r="F24" i="5"/>
  <c r="D25" i="5"/>
  <c r="D26" i="5"/>
  <c r="D27" i="5"/>
  <c r="D28" i="5"/>
  <c r="D29" i="5"/>
  <c r="D30" i="5"/>
  <c r="D31" i="5"/>
  <c r="D24" i="5"/>
  <c r="E25" i="5"/>
  <c r="E26" i="5"/>
  <c r="E27" i="5"/>
  <c r="E28" i="5"/>
  <c r="E29" i="5"/>
  <c r="E30" i="5"/>
  <c r="E31" i="5"/>
  <c r="E24" i="5"/>
  <c r="C25" i="5"/>
  <c r="C26" i="5"/>
  <c r="C27" i="5"/>
  <c r="C28" i="5"/>
  <c r="C29" i="5"/>
  <c r="C30" i="5"/>
  <c r="C31" i="5"/>
  <c r="C24" i="5"/>
  <c r="D5" i="4"/>
  <c r="E5" i="4"/>
  <c r="C5" i="4"/>
  <c r="D4" i="4"/>
  <c r="D6" i="4" s="1"/>
  <c r="E4" i="4"/>
  <c r="C4" i="4"/>
  <c r="C6" i="4" s="1"/>
  <c r="F8" i="3"/>
  <c r="F6" i="3"/>
  <c r="F5" i="3"/>
  <c r="C4" i="2"/>
  <c r="C3" i="2"/>
  <c r="C25" i="1"/>
  <c r="C24" i="1"/>
  <c r="H29" i="1"/>
  <c r="H30" i="1" s="1"/>
  <c r="C23" i="1"/>
  <c r="H16" i="1"/>
  <c r="H20" i="1" s="1"/>
  <c r="G16" i="1"/>
  <c r="G20" i="1" s="1"/>
  <c r="F16" i="1"/>
  <c r="F20" i="1" s="1"/>
  <c r="E16" i="1"/>
  <c r="E20" i="1" s="1"/>
  <c r="D16" i="1"/>
  <c r="D20" i="1" s="1"/>
  <c r="E6" i="4" l="1"/>
  <c r="F7" i="3"/>
  <c r="F9" i="3" s="1"/>
  <c r="F10" i="3" s="1"/>
  <c r="F11" i="3" s="1"/>
  <c r="C26" i="1"/>
  <c r="H31" i="1" l="1"/>
  <c r="H32" i="1" s="1"/>
  <c r="D35" i="1"/>
  <c r="D36" i="1" s="1"/>
  <c r="E35" i="1"/>
  <c r="E36" i="1" s="1"/>
  <c r="F35" i="1"/>
  <c r="F36" i="1" s="1"/>
  <c r="G35" i="1"/>
  <c r="G36" i="1" s="1"/>
  <c r="H35" i="1"/>
  <c r="H36" i="1"/>
  <c r="H37" i="1" l="1"/>
  <c r="C38" i="1"/>
  <c r="B6" i="2" s="1"/>
  <c r="C45" i="1" l="1"/>
  <c r="C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Kashish Priya</author>
  </authors>
  <commentList>
    <comment ref="H32" authorId="0" shapeId="0" xr:uid="{C8DFC99B-6E1A-4522-A72F-FD793F084DA9}">
      <text>
        <r>
          <rPr>
            <b/>
            <sz val="9"/>
            <color indexed="81"/>
            <rFont val="Tahoma"/>
            <family val="2"/>
          </rPr>
          <t>Kashish Priya:</t>
        </r>
        <r>
          <rPr>
            <sz val="9"/>
            <color indexed="81"/>
            <rFont val="Tahoma"/>
            <family val="2"/>
          </rPr>
          <t xml:space="preserve">
I calculated terminal value using both the exit multiple and perpetuity growth methods, and proceeded with the average of the two.</t>
        </r>
      </text>
    </comment>
  </commentList>
</comments>
</file>

<file path=xl/sharedStrings.xml><?xml version="1.0" encoding="utf-8"?>
<sst xmlns="http://schemas.openxmlformats.org/spreadsheetml/2006/main" count="87" uniqueCount="77">
  <si>
    <t>Discounted Cash Flow Full</t>
  </si>
  <si>
    <t>Assumptions pt1</t>
  </si>
  <si>
    <t>Assumptions pt2</t>
  </si>
  <si>
    <t>Growth rate</t>
  </si>
  <si>
    <t>Beta</t>
  </si>
  <si>
    <t>EV/EBITDA Multiple</t>
  </si>
  <si>
    <t>Market Return</t>
  </si>
  <si>
    <t>Cost of Debt</t>
  </si>
  <si>
    <t>Equity value</t>
  </si>
  <si>
    <t>Tax Rate</t>
  </si>
  <si>
    <t>Debt value</t>
  </si>
  <si>
    <t>10y Treasury</t>
  </si>
  <si>
    <t>Period</t>
  </si>
  <si>
    <t>Free Cash Flows</t>
  </si>
  <si>
    <t>EBIT</t>
  </si>
  <si>
    <t>Tax</t>
  </si>
  <si>
    <t>D&amp;A</t>
  </si>
  <si>
    <t>CapEx</t>
  </si>
  <si>
    <t>Non-cash Work. Capital (inc) / dec</t>
  </si>
  <si>
    <t>FCF</t>
  </si>
  <si>
    <t>WACC</t>
  </si>
  <si>
    <t>Cost of Equity</t>
  </si>
  <si>
    <t>D/D+E</t>
  </si>
  <si>
    <t>E/D+E</t>
  </si>
  <si>
    <t>Terminal Value</t>
  </si>
  <si>
    <t>EBITDA</t>
  </si>
  <si>
    <t>Exit Multiple (EV/EBITDA)</t>
  </si>
  <si>
    <t>Perpetuity Growth</t>
  </si>
  <si>
    <t>Average</t>
  </si>
  <si>
    <t>Discounting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</si>
  <si>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</si>
  <si>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</si>
  <si>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</si>
  <si>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</si>
  <si>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</si>
  <si>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</si>
  <si>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</si>
  <si>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</si>
  <si>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</si>
  <si>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</si>
  <si>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</si>
  <si>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Implied Share Price</t>
  </si>
  <si>
    <t>Sensitivity Analysis (WACC, growth rate)</t>
  </si>
  <si>
    <t>growth rate</t>
  </si>
  <si>
    <t>Goal Seek</t>
  </si>
  <si>
    <t>Assumptions</t>
  </si>
  <si>
    <t>Income Statement</t>
  </si>
  <si>
    <t>Units sold</t>
  </si>
  <si>
    <t>Revenue</t>
  </si>
  <si>
    <t>Price per unit</t>
  </si>
  <si>
    <t>COGS</t>
  </si>
  <si>
    <t>Cost per unit</t>
  </si>
  <si>
    <t>Gross Profit</t>
  </si>
  <si>
    <t>SG&amp;A</t>
  </si>
  <si>
    <t>Tax rate</t>
  </si>
  <si>
    <t>Earnings Before Tax</t>
  </si>
  <si>
    <t>Taxes</t>
  </si>
  <si>
    <t>Net Income (Loss)</t>
  </si>
  <si>
    <t>Constraints</t>
  </si>
  <si>
    <t>Net income</t>
  </si>
  <si>
    <t>Scenario Analysis</t>
  </si>
  <si>
    <t>$ in actual figures</t>
  </si>
  <si>
    <t>Revenues</t>
  </si>
  <si>
    <t>Costs</t>
  </si>
  <si>
    <t>Revenue Scenarios</t>
  </si>
  <si>
    <t>1. Best Case</t>
  </si>
  <si>
    <t>2. Base Case</t>
  </si>
  <si>
    <t>3. Worst Case</t>
  </si>
  <si>
    <t>Cost Scenarios</t>
  </si>
  <si>
    <t>Choose Scenario -&gt;</t>
  </si>
  <si>
    <t>Hotel Resort Business</t>
  </si>
  <si>
    <t>Date</t>
  </si>
  <si>
    <t>Sales</t>
  </si>
  <si>
    <t>Linear</t>
  </si>
  <si>
    <t>Seasonal</t>
  </si>
  <si>
    <t>Upper Bound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</si>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</sst>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0.0%"/>
    <numFmt numFmtId="165" formatCode="0.0"/>
    <numFmt numFmtId="166" formatCode="0.00\x"/>
    <numFmt numFmtId="167" formatCode="#,##0;\(#,##0\)"/>
    <numFmt numFmtId="168" formatCode="0.0000%"/>
    <numFmt numFmtId="169" formatCode="#,##0.00;\(#,##0.00\)"/>
    <numFmt numFmtId="170" formatCode="_(* #,##0_);_(* \(#,##0\);_(* &quot;-&quot;??_);_(@_)"/>
    <numFmt numFmtId="171" formatCode="_(* #,##0.00_);_(* \(#,##0.00\);_(* &quot;-&quot;??_);_(@_)"/>
    <numFmt numFmtId="172" formatCode="yyyy\E"/>
    <numFmt numFmtId="173" formatCode="_-* #,##0\ _€_-;\-* #,##0\ _€_-;_-* &quot;-&quot;?\ _€_-;_-@_-"/>
    <numFmt numFmtId="174" formatCode="yyyy"/>
    <numFmt numFmtId="175" formatCode="dd/mm/yy"/>
    <numFmt numFmtId="176" formatCode="[$$-C09]#,##0"/>
    <numFmt numFmtId="177" formatCode="[$$-C09]#,##0.00"/>
    <numFmt numFmtId="183" formatCode="_ * #,##0_ ;_ * \-#,##0_ ;_ * &quot;-&quot;??_ ;_ @_ "/>
  </numFmts>
  <fonts count="1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theme="3" tint="0.49998474074526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3" fillId="0" borderId="4" xfId="0" applyFont="1" applyBorder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9" fontId="4" fillId="0" borderId="0" xfId="0" applyNumberFormat="1" applyFont="1"/>
    <xf numFmtId="0" fontId="5" fillId="0" borderId="0" xfId="0" applyFont="1"/>
    <xf numFmtId="167" fontId="4" fillId="0" borderId="0" xfId="0" applyNumberFormat="1" applyFont="1"/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0" borderId="0" xfId="0" applyFont="1"/>
    <xf numFmtId="0" fontId="7" fillId="2" borderId="0" xfId="0" applyFont="1" applyFill="1"/>
    <xf numFmtId="167" fontId="3" fillId="0" borderId="0" xfId="0" applyNumberFormat="1" applyFont="1"/>
    <xf numFmtId="167" fontId="3" fillId="4" borderId="0" xfId="0" applyNumberFormat="1" applyFont="1" applyFill="1"/>
    <xf numFmtId="0" fontId="1" fillId="0" borderId="5" xfId="0" applyFont="1" applyBorder="1" applyAlignment="1">
      <alignment horizontal="left"/>
    </xf>
    <xf numFmtId="167" fontId="1" fillId="0" borderId="5" xfId="0" applyNumberFormat="1" applyFont="1" applyBorder="1"/>
    <xf numFmtId="167" fontId="1" fillId="4" borderId="5" xfId="0" applyNumberFormat="1" applyFont="1" applyFill="1" applyBorder="1"/>
    <xf numFmtId="167" fontId="3" fillId="2" borderId="0" xfId="0" applyNumberFormat="1" applyFont="1" applyFill="1"/>
    <xf numFmtId="168" fontId="3" fillId="4" borderId="0" xfId="0" applyNumberFormat="1" applyFont="1" applyFill="1"/>
    <xf numFmtId="10" fontId="3" fillId="4" borderId="0" xfId="0" applyNumberFormat="1" applyFont="1" applyFill="1"/>
    <xf numFmtId="10" fontId="1" fillId="4" borderId="5" xfId="0" applyNumberFormat="1" applyFont="1" applyFill="1" applyBorder="1"/>
    <xf numFmtId="0" fontId="7" fillId="2" borderId="0" xfId="0" applyFont="1" applyFill="1" applyAlignment="1">
      <alignment horizontal="left"/>
    </xf>
    <xf numFmtId="169" fontId="3" fillId="4" borderId="0" xfId="0" applyNumberFormat="1" applyFont="1" applyFill="1"/>
    <xf numFmtId="169" fontId="1" fillId="4" borderId="5" xfId="0" applyNumberFormat="1" applyFont="1" applyFill="1" applyBorder="1"/>
    <xf numFmtId="10" fontId="0" fillId="0" borderId="0" xfId="0" applyNumberFormat="1"/>
    <xf numFmtId="10" fontId="0" fillId="0" borderId="0" xfId="1" applyNumberFormat="1" applyFont="1"/>
    <xf numFmtId="0" fontId="2" fillId="0" borderId="0" xfId="0" applyFont="1"/>
    <xf numFmtId="2" fontId="0" fillId="0" borderId="0" xfId="0" applyNumberFormat="1"/>
    <xf numFmtId="167" fontId="0" fillId="0" borderId="0" xfId="0" applyNumberFormat="1"/>
    <xf numFmtId="10" fontId="0" fillId="5" borderId="0" xfId="0" applyNumberFormat="1" applyFill="1"/>
    <xf numFmtId="10" fontId="0" fillId="5" borderId="0" xfId="1" applyNumberFormat="1" applyFont="1" applyFill="1"/>
    <xf numFmtId="167" fontId="0" fillId="5" borderId="6" xfId="0" applyNumberFormat="1" applyFill="1" applyBorder="1"/>
    <xf numFmtId="10" fontId="11" fillId="0" borderId="0" xfId="0" applyNumberFormat="1" applyFont="1"/>
    <xf numFmtId="10" fontId="11" fillId="0" borderId="0" xfId="1" applyNumberFormat="1" applyFont="1" applyBorder="1"/>
    <xf numFmtId="0" fontId="12" fillId="0" borderId="0" xfId="0" applyFont="1"/>
    <xf numFmtId="170" fontId="14" fillId="0" borderId="0" xfId="2" applyNumberFormat="1" applyFont="1"/>
    <xf numFmtId="170" fontId="0" fillId="0" borderId="0" xfId="2" applyNumberFormat="1" applyFont="1"/>
    <xf numFmtId="171" fontId="14" fillId="0" borderId="0" xfId="2" applyNumberFormat="1" applyFont="1"/>
    <xf numFmtId="0" fontId="12" fillId="0" borderId="7" xfId="0" applyFont="1" applyBorder="1"/>
    <xf numFmtId="170" fontId="12" fillId="0" borderId="7" xfId="2" applyNumberFormat="1" applyFont="1" applyBorder="1"/>
    <xf numFmtId="9" fontId="14" fillId="0" borderId="0" xfId="0" applyNumberFormat="1" applyFont="1"/>
    <xf numFmtId="0" fontId="0" fillId="0" borderId="0" xfId="0" applyAlignment="1">
      <alignment horizontal="left" indent="1"/>
    </xf>
    <xf numFmtId="170" fontId="0" fillId="0" borderId="0" xfId="2" applyNumberFormat="1" applyFont="1" applyAlignment="1">
      <alignment horizontal="right"/>
    </xf>
    <xf numFmtId="0" fontId="12" fillId="7" borderId="8" xfId="0" applyFont="1" applyFill="1" applyBorder="1"/>
    <xf numFmtId="170" fontId="12" fillId="7" borderId="8" xfId="2" applyNumberFormat="1" applyFont="1" applyFill="1" applyBorder="1"/>
    <xf numFmtId="0" fontId="13" fillId="6" borderId="0" xfId="0" applyFont="1" applyFill="1" applyAlignment="1">
      <alignment horizontal="left"/>
    </xf>
    <xf numFmtId="0" fontId="12" fillId="8" borderId="0" xfId="0" applyFont="1" applyFill="1"/>
    <xf numFmtId="172" fontId="0" fillId="8" borderId="0" xfId="0" applyNumberFormat="1" applyFill="1"/>
    <xf numFmtId="0" fontId="0" fillId="8" borderId="0" xfId="0" applyFill="1" applyAlignment="1">
      <alignment horizontal="left" indent="1"/>
    </xf>
    <xf numFmtId="170" fontId="14" fillId="8" borderId="0" xfId="2" applyNumberFormat="1" applyFont="1" applyFill="1"/>
    <xf numFmtId="173" fontId="0" fillId="0" borderId="0" xfId="0" applyNumberFormat="1"/>
    <xf numFmtId="0" fontId="0" fillId="8" borderId="0" xfId="0" applyFill="1"/>
    <xf numFmtId="0" fontId="14" fillId="8" borderId="0" xfId="0" applyFont="1" applyFill="1"/>
    <xf numFmtId="174" fontId="0" fillId="0" borderId="0" xfId="0" applyNumberFormat="1"/>
    <xf numFmtId="174" fontId="13" fillId="6" borderId="0" xfId="0" applyNumberFormat="1" applyFont="1" applyFill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3" fillId="6" borderId="0" xfId="0" applyFont="1" applyFill="1" applyAlignment="1">
      <alignment horizontal="center"/>
    </xf>
    <xf numFmtId="0" fontId="15" fillId="9" borderId="9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/>
    </xf>
    <xf numFmtId="0" fontId="16" fillId="0" borderId="11" xfId="0" applyFont="1" applyBorder="1"/>
    <xf numFmtId="0" fontId="0" fillId="0" borderId="11" xfId="0" applyBorder="1"/>
    <xf numFmtId="0" fontId="13" fillId="10" borderId="0" xfId="0" applyFont="1" applyFill="1" applyAlignment="1">
      <alignment horizontal="center"/>
    </xf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/>
    <xf numFmtId="176" fontId="0" fillId="0" borderId="0" xfId="0" applyNumberFormat="1"/>
    <xf numFmtId="183" fontId="0" fillId="0" borderId="0" xfId="2" applyNumberFormat="1" applyFont="1"/>
    <xf numFmtId="183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Forecasting!$C$4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Forecasting!$B$5:$B$20</c:f>
              <c:numCache>
                <c:formatCode>dd/mm/yy</c:formatCode>
                <c:ptCount val="16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</c:numCache>
            </c:numRef>
          </c:cat>
          <c:val>
            <c:numRef>
              <c:f>Forecasting!$C$5:$C$20</c:f>
              <c:numCache>
                <c:formatCode>[$$-C09]#,##0</c:formatCode>
                <c:ptCount val="16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3-4A57-88F5-61856EB11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042415"/>
        <c:axId val="1994057775"/>
      </c:lineChart>
      <c:dateAx>
        <c:axId val="1994042415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57775"/>
        <c:crosses val="autoZero"/>
        <c:auto val="1"/>
        <c:lblOffset val="100"/>
        <c:baseTimeUnit val="months"/>
      </c:dateAx>
      <c:valAx>
        <c:axId val="199405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04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3</xdr:row>
      <xdr:rowOff>49530</xdr:rowOff>
    </xdr:from>
    <xdr:to>
      <xdr:col>8</xdr:col>
      <xdr:colOff>190500</xdr:colOff>
      <xdr:row>18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AF48AA-393E-9DEE-FBD4-56FB5B69D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11DD-E1FD-48F1-B5CE-A37E66B1EC37}">
  <dimension ref="A2:O48"/>
  <sheetViews>
    <sheetView topLeftCell="A12" workbookViewId="0">
      <selection activeCell="J15" sqref="J15:O21"/>
    </sheetView>
  </sheetViews>
  <sheetFormatPr defaultRowHeight="14.4" x14ac:dyDescent="0.3"/>
  <cols>
    <col min="2" max="2" width="37.21875" customWidth="1"/>
    <col min="3" max="8" width="14.21875" customWidth="1"/>
    <col min="11" max="11" width="8.88671875" customWidth="1"/>
  </cols>
  <sheetData>
    <row r="2" spans="1:15" ht="15.6" x14ac:dyDescent="0.3">
      <c r="B2" s="60" t="s">
        <v>0</v>
      </c>
      <c r="C2" s="61"/>
      <c r="D2" s="61"/>
      <c r="E2" s="61"/>
      <c r="F2" s="61"/>
      <c r="G2" s="61"/>
      <c r="H2" s="62"/>
    </row>
    <row r="3" spans="1:15" ht="15.6" x14ac:dyDescent="0.3">
      <c r="A3" s="1"/>
      <c r="B3" s="2"/>
      <c r="C3" s="2"/>
      <c r="D3" s="2"/>
      <c r="E3" s="2"/>
      <c r="F3" s="2"/>
      <c r="G3" s="2"/>
      <c r="H3" s="2"/>
    </row>
    <row r="4" spans="1:15" ht="15.6" x14ac:dyDescent="0.3">
      <c r="B4" s="3" t="s">
        <v>1</v>
      </c>
      <c r="C4" s="3"/>
      <c r="E4" s="3" t="s">
        <v>2</v>
      </c>
      <c r="F4" s="3"/>
    </row>
    <row r="5" spans="1:15" ht="15.6" x14ac:dyDescent="0.3">
      <c r="B5" s="4" t="s">
        <v>3</v>
      </c>
      <c r="C5" s="5">
        <v>1.7000000000000001E-2</v>
      </c>
      <c r="E5" s="4" t="s">
        <v>4</v>
      </c>
      <c r="F5" s="6">
        <v>1.3</v>
      </c>
    </row>
    <row r="6" spans="1:15" ht="15.6" x14ac:dyDescent="0.3">
      <c r="B6" s="4" t="s">
        <v>5</v>
      </c>
      <c r="C6" s="7">
        <v>7</v>
      </c>
      <c r="E6" s="4" t="s">
        <v>6</v>
      </c>
      <c r="F6" s="8">
        <v>0.1</v>
      </c>
    </row>
    <row r="7" spans="1:15" ht="15.6" x14ac:dyDescent="0.3">
      <c r="B7" s="4" t="s">
        <v>7</v>
      </c>
      <c r="C7" s="8">
        <v>0.05</v>
      </c>
      <c r="E7" s="9" t="s">
        <v>8</v>
      </c>
      <c r="F7" s="10">
        <v>17500</v>
      </c>
    </row>
    <row r="8" spans="1:15" ht="15.6" x14ac:dyDescent="0.3">
      <c r="B8" s="4" t="s">
        <v>9</v>
      </c>
      <c r="C8" s="8">
        <v>0.25</v>
      </c>
      <c r="E8" s="9" t="s">
        <v>10</v>
      </c>
      <c r="F8" s="10">
        <v>15000</v>
      </c>
    </row>
    <row r="9" spans="1:15" ht="15.6" x14ac:dyDescent="0.3">
      <c r="B9" s="4" t="s">
        <v>11</v>
      </c>
      <c r="C9" s="5">
        <v>1.4999999999999999E-2</v>
      </c>
      <c r="E9" s="4"/>
      <c r="F9" s="4"/>
    </row>
    <row r="10" spans="1:15" ht="15.6" x14ac:dyDescent="0.3">
      <c r="C10" s="5"/>
    </row>
    <row r="12" spans="1:15" ht="15.6" x14ac:dyDescent="0.3">
      <c r="A12" s="11"/>
      <c r="B12" s="12" t="s">
        <v>12</v>
      </c>
      <c r="C12" s="13">
        <v>0</v>
      </c>
      <c r="D12" s="13">
        <v>1</v>
      </c>
      <c r="E12" s="13">
        <v>2</v>
      </c>
      <c r="F12" s="13">
        <v>3</v>
      </c>
      <c r="G12" s="13">
        <v>4</v>
      </c>
      <c r="H12" s="13">
        <v>5</v>
      </c>
    </row>
    <row r="13" spans="1:15" ht="15.6" x14ac:dyDescent="0.3">
      <c r="A13" s="11"/>
      <c r="B13" s="14"/>
      <c r="C13" s="15"/>
      <c r="D13" s="15"/>
      <c r="E13" s="15"/>
      <c r="F13" s="15"/>
      <c r="G13" s="15"/>
      <c r="H13" s="15"/>
    </row>
    <row r="14" spans="1:15" ht="15.6" x14ac:dyDescent="0.3">
      <c r="B14" s="16" t="s">
        <v>13</v>
      </c>
    </row>
    <row r="15" spans="1:15" ht="15.6" x14ac:dyDescent="0.3">
      <c r="B15" s="11" t="s">
        <v>14</v>
      </c>
      <c r="C15" s="17"/>
      <c r="D15" s="10">
        <v>5000</v>
      </c>
      <c r="E15" s="10">
        <v>5200</v>
      </c>
      <c r="F15" s="10">
        <v>5400</v>
      </c>
      <c r="G15" s="10">
        <v>5500</v>
      </c>
      <c r="H15" s="10">
        <v>5500</v>
      </c>
      <c r="J15" s="33"/>
      <c r="K15" s="29"/>
      <c r="L15" s="29"/>
      <c r="M15" s="29"/>
      <c r="N15" s="29"/>
      <c r="O15" s="29"/>
    </row>
    <row r="16" spans="1:15" ht="15.6" x14ac:dyDescent="0.3">
      <c r="B16" s="11" t="s">
        <v>15</v>
      </c>
      <c r="C16" s="17"/>
      <c r="D16" s="18">
        <f>D15*-$C$8</f>
        <v>-1250</v>
      </c>
      <c r="E16" s="18">
        <f t="shared" ref="E16:H16" si="0">E15*-$C$8</f>
        <v>-1300</v>
      </c>
      <c r="F16" s="18">
        <f t="shared" si="0"/>
        <v>-1350</v>
      </c>
      <c r="G16" s="18">
        <f t="shared" si="0"/>
        <v>-1375</v>
      </c>
      <c r="H16" s="18">
        <f t="shared" si="0"/>
        <v>-1375</v>
      </c>
      <c r="J16" s="30"/>
    </row>
    <row r="17" spans="2:10" ht="15.6" x14ac:dyDescent="0.3">
      <c r="B17" s="11" t="s">
        <v>16</v>
      </c>
      <c r="C17" s="17"/>
      <c r="D17" s="10">
        <v>325</v>
      </c>
      <c r="E17" s="10">
        <v>330</v>
      </c>
      <c r="F17" s="10">
        <v>330</v>
      </c>
      <c r="G17" s="10">
        <v>320</v>
      </c>
      <c r="H17" s="10">
        <v>320</v>
      </c>
      <c r="J17" s="30"/>
    </row>
    <row r="18" spans="2:10" ht="15.6" x14ac:dyDescent="0.3">
      <c r="B18" s="11" t="s">
        <v>17</v>
      </c>
      <c r="C18" s="17"/>
      <c r="D18" s="10">
        <v>-1550</v>
      </c>
      <c r="E18" s="10">
        <v>-1550</v>
      </c>
      <c r="F18" s="10">
        <v>-1500</v>
      </c>
      <c r="G18" s="10">
        <v>-1500</v>
      </c>
      <c r="H18" s="10">
        <v>-1500</v>
      </c>
      <c r="J18" s="30"/>
    </row>
    <row r="19" spans="2:10" ht="15.6" x14ac:dyDescent="0.3">
      <c r="B19" s="11" t="s">
        <v>18</v>
      </c>
      <c r="C19" s="17"/>
      <c r="D19" s="10">
        <v>-180</v>
      </c>
      <c r="E19" s="10">
        <v>-170</v>
      </c>
      <c r="F19" s="10">
        <v>-160</v>
      </c>
      <c r="G19" s="10">
        <v>-150</v>
      </c>
      <c r="H19" s="10">
        <v>-145</v>
      </c>
      <c r="J19" s="30"/>
    </row>
    <row r="20" spans="2:10" ht="15.6" x14ac:dyDescent="0.3">
      <c r="B20" s="19" t="s">
        <v>19</v>
      </c>
      <c r="C20" s="20"/>
      <c r="D20" s="21">
        <f>SUM(D15:D19)</f>
        <v>2345</v>
      </c>
      <c r="E20" s="21">
        <f t="shared" ref="E20:H20" si="1">SUM(E15:E19)</f>
        <v>2510</v>
      </c>
      <c r="F20" s="21">
        <f t="shared" si="1"/>
        <v>2720</v>
      </c>
      <c r="G20" s="21">
        <f t="shared" si="1"/>
        <v>2795</v>
      </c>
      <c r="H20" s="21">
        <f t="shared" si="1"/>
        <v>2800</v>
      </c>
      <c r="J20" s="30"/>
    </row>
    <row r="21" spans="2:10" ht="15.6" x14ac:dyDescent="0.3">
      <c r="C21" s="17"/>
      <c r="D21" s="17"/>
      <c r="E21" s="17"/>
      <c r="F21" s="17"/>
      <c r="G21" s="17"/>
      <c r="H21" s="17"/>
    </row>
    <row r="22" spans="2:10" ht="15.6" x14ac:dyDescent="0.3">
      <c r="B22" s="16" t="s">
        <v>20</v>
      </c>
      <c r="C22" s="22"/>
      <c r="D22" s="17"/>
      <c r="E22" s="17"/>
      <c r="F22" s="17"/>
      <c r="G22" s="17"/>
      <c r="H22" s="17"/>
    </row>
    <row r="23" spans="2:10" ht="15.6" x14ac:dyDescent="0.3">
      <c r="B23" s="11" t="s">
        <v>21</v>
      </c>
      <c r="C23" s="23">
        <f>C9+F5*(F6-C9)</f>
        <v>0.1255</v>
      </c>
      <c r="D23" s="17"/>
      <c r="E23" s="17"/>
      <c r="F23" s="17"/>
      <c r="G23" s="17"/>
      <c r="H23" s="17"/>
    </row>
    <row r="24" spans="2:10" ht="15.6" x14ac:dyDescent="0.3">
      <c r="B24" s="11" t="s">
        <v>22</v>
      </c>
      <c r="C24" s="24">
        <f>F8/SUM(F5:F8)</f>
        <v>0.46151858073806051</v>
      </c>
      <c r="D24" s="17"/>
      <c r="E24" s="17"/>
      <c r="F24" s="17"/>
      <c r="G24" s="17"/>
      <c r="H24" s="17"/>
    </row>
    <row r="25" spans="2:10" ht="15.6" x14ac:dyDescent="0.3">
      <c r="B25" s="11" t="s">
        <v>23</v>
      </c>
      <c r="C25" s="24">
        <f>F7/SUM(F5:F8)</f>
        <v>0.53843834419440395</v>
      </c>
      <c r="D25" s="17"/>
      <c r="E25" s="17"/>
      <c r="F25" s="17"/>
      <c r="G25" s="17"/>
      <c r="H25" s="17"/>
    </row>
    <row r="26" spans="2:10" ht="15.6" x14ac:dyDescent="0.3">
      <c r="B26" s="19" t="s">
        <v>20</v>
      </c>
      <c r="C26" s="25">
        <f>C25*C23+C24*C7*(1-C8)</f>
        <v>8.4880958974074966E-2</v>
      </c>
      <c r="D26" s="17"/>
      <c r="E26" s="17"/>
      <c r="F26" s="17"/>
      <c r="G26" s="17"/>
      <c r="H26" s="17"/>
    </row>
    <row r="27" spans="2:10" ht="15.6" x14ac:dyDescent="0.3">
      <c r="C27" s="17"/>
      <c r="D27" s="17"/>
      <c r="E27" s="17"/>
      <c r="F27" s="17"/>
      <c r="G27" s="17"/>
      <c r="H27" s="17"/>
    </row>
    <row r="28" spans="2:10" ht="15.6" x14ac:dyDescent="0.3">
      <c r="B28" s="16" t="s">
        <v>24</v>
      </c>
      <c r="C28" s="22"/>
      <c r="D28" s="22"/>
      <c r="E28" s="22"/>
      <c r="F28" s="22"/>
      <c r="G28" s="22"/>
      <c r="H28" s="22"/>
    </row>
    <row r="29" spans="2:10" ht="15.6" x14ac:dyDescent="0.3">
      <c r="B29" s="11" t="s">
        <v>25</v>
      </c>
      <c r="C29" s="17"/>
      <c r="D29" s="17"/>
      <c r="E29" s="17"/>
      <c r="F29" s="17"/>
      <c r="G29" s="17"/>
      <c r="H29" s="18">
        <f>H15+H17</f>
        <v>5820</v>
      </c>
    </row>
    <row r="30" spans="2:10" ht="15.6" x14ac:dyDescent="0.3">
      <c r="B30" s="11" t="s">
        <v>26</v>
      </c>
      <c r="C30" s="17"/>
      <c r="D30" s="17"/>
      <c r="E30" s="17"/>
      <c r="F30" s="17"/>
      <c r="G30" s="17"/>
      <c r="H30" s="18">
        <f>H29*C6</f>
        <v>40740</v>
      </c>
    </row>
    <row r="31" spans="2:10" ht="15.6" x14ac:dyDescent="0.3">
      <c r="B31" s="11" t="s">
        <v>27</v>
      </c>
      <c r="C31" s="17"/>
      <c r="D31" s="17"/>
      <c r="E31" s="17"/>
      <c r="F31" s="17"/>
      <c r="G31" s="17"/>
      <c r="H31" s="18">
        <f>H20*(1+C5)/(C26-C5)</f>
        <v>41949.908236970441</v>
      </c>
    </row>
    <row r="32" spans="2:10" ht="15.6" x14ac:dyDescent="0.3">
      <c r="B32" s="19" t="s">
        <v>28</v>
      </c>
      <c r="C32" s="20"/>
      <c r="D32" s="20"/>
      <c r="E32" s="20"/>
      <c r="F32" s="20"/>
      <c r="G32" s="20"/>
      <c r="H32" s="21">
        <f>AVERAGE(H30:H31)</f>
        <v>41344.954118485221</v>
      </c>
    </row>
    <row r="33" spans="2:8" ht="15.6" x14ac:dyDescent="0.3">
      <c r="C33" s="17"/>
      <c r="D33" s="17"/>
      <c r="E33" s="17"/>
      <c r="F33" s="17"/>
      <c r="G33" s="17"/>
      <c r="H33" s="17"/>
    </row>
    <row r="34" spans="2:8" ht="15.6" x14ac:dyDescent="0.3">
      <c r="B34" s="26" t="s">
        <v>29</v>
      </c>
      <c r="C34" s="22"/>
      <c r="D34" s="22"/>
      <c r="E34" s="22"/>
      <c r="F34" s="22"/>
      <c r="G34" s="22"/>
      <c r="H34" s="22"/>
    </row>
    <row r="35" spans="2:8" ht="15.6" x14ac:dyDescent="0.3">
      <c r="B35" s="11" t="s">
        <v>30</v>
      </c>
      <c r="C35" s="17"/>
      <c r="D35" s="27">
        <f>1/(1+$C$26)^D12</f>
        <v>0.92176011729955776</v>
      </c>
      <c r="E35" s="27">
        <f t="shared" ref="E35:G35" si="2">1/(1+$C$26)^E12</f>
        <v>0.84964171384409448</v>
      </c>
      <c r="F35" s="27">
        <f t="shared" si="2"/>
        <v>0.78316584581552984</v>
      </c>
      <c r="G35" s="27">
        <f t="shared" si="2"/>
        <v>0.72189104190393016</v>
      </c>
      <c r="H35" s="27">
        <f>1/(1+$C$26)^H12</f>
        <v>0.66541037146286663</v>
      </c>
    </row>
    <row r="36" spans="2:8" ht="15.6" x14ac:dyDescent="0.3">
      <c r="B36" s="11" t="s">
        <v>31</v>
      </c>
      <c r="C36" s="17"/>
      <c r="D36" s="18">
        <f>D35*D20</f>
        <v>2161.527475067463</v>
      </c>
      <c r="E36" s="18">
        <f t="shared" ref="E36:H36" si="3">E35*E20</f>
        <v>2132.6007017486772</v>
      </c>
      <c r="F36" s="18">
        <f t="shared" si="3"/>
        <v>2130.2111006182413</v>
      </c>
      <c r="G36" s="18">
        <f t="shared" si="3"/>
        <v>2017.6854621214848</v>
      </c>
      <c r="H36" s="18">
        <f t="shared" si="3"/>
        <v>1863.1490400960265</v>
      </c>
    </row>
    <row r="37" spans="2:8" ht="15.6" x14ac:dyDescent="0.3">
      <c r="B37" s="11" t="s">
        <v>32</v>
      </c>
      <c r="C37" s="17"/>
      <c r="D37" s="17"/>
      <c r="E37" s="17"/>
      <c r="F37" s="17"/>
      <c r="G37" s="17"/>
      <c r="H37" s="18">
        <f>H35*H32</f>
        <v>27511.361278096429</v>
      </c>
    </row>
    <row r="38" spans="2:8" ht="15.6" x14ac:dyDescent="0.3">
      <c r="B38" s="19" t="s">
        <v>33</v>
      </c>
      <c r="C38" s="21">
        <f>SUM(D36:H37)</f>
        <v>37816.535057748319</v>
      </c>
      <c r="D38" s="17"/>
      <c r="E38" s="17"/>
      <c r="F38" s="17"/>
      <c r="G38" s="17"/>
      <c r="H38" s="17"/>
    </row>
    <row r="39" spans="2:8" ht="15.6" x14ac:dyDescent="0.3">
      <c r="D39" s="17"/>
      <c r="E39" s="17"/>
      <c r="F39" s="17"/>
      <c r="G39" s="17"/>
      <c r="H39" s="17"/>
    </row>
    <row r="40" spans="2:8" ht="15.6" x14ac:dyDescent="0.3">
      <c r="B40" s="16" t="s">
        <v>34</v>
      </c>
      <c r="C40" s="22"/>
      <c r="D40" s="17"/>
      <c r="E40" s="17"/>
      <c r="F40" s="17"/>
      <c r="G40" s="17"/>
      <c r="H40" s="17"/>
    </row>
    <row r="41" spans="2:8" ht="15.6" x14ac:dyDescent="0.3">
      <c r="B41" s="11" t="s">
        <v>35</v>
      </c>
      <c r="C41" s="10">
        <v>500</v>
      </c>
      <c r="D41" s="17"/>
      <c r="E41" s="17"/>
      <c r="F41" s="17"/>
      <c r="G41" s="17"/>
      <c r="H41" s="17"/>
    </row>
    <row r="42" spans="2:8" ht="15.6" x14ac:dyDescent="0.3">
      <c r="B42" s="11" t="s">
        <v>36</v>
      </c>
      <c r="C42" s="10">
        <v>4500</v>
      </c>
      <c r="D42" s="17"/>
      <c r="E42" s="17"/>
      <c r="F42" s="17"/>
      <c r="G42" s="17"/>
      <c r="H42" s="17"/>
    </row>
    <row r="43" spans="2:8" ht="15.6" x14ac:dyDescent="0.3">
      <c r="B43" s="11" t="s">
        <v>37</v>
      </c>
      <c r="C43" s="10">
        <v>3650</v>
      </c>
      <c r="D43" s="17"/>
      <c r="E43" s="17"/>
      <c r="F43" s="17"/>
      <c r="G43" s="17"/>
      <c r="H43" s="17"/>
    </row>
    <row r="44" spans="2:8" ht="15.6" x14ac:dyDescent="0.3">
      <c r="B44" s="11" t="s">
        <v>38</v>
      </c>
      <c r="C44" s="10">
        <v>16540</v>
      </c>
      <c r="D44" s="17"/>
      <c r="E44" s="17"/>
      <c r="F44" s="17"/>
      <c r="G44" s="17"/>
      <c r="H44" s="17"/>
    </row>
    <row r="45" spans="2:8" ht="15.6" x14ac:dyDescent="0.3">
      <c r="B45" s="19" t="s">
        <v>39</v>
      </c>
      <c r="C45" s="21">
        <f>C38+C41+C42-C43-C44</f>
        <v>22626.535057748319</v>
      </c>
      <c r="D45" s="17"/>
      <c r="E45" s="17"/>
      <c r="F45" s="17"/>
      <c r="G45" s="17"/>
      <c r="H45" s="17"/>
    </row>
    <row r="46" spans="2:8" ht="15.6" x14ac:dyDescent="0.3">
      <c r="C46" s="17"/>
      <c r="D46" s="17"/>
      <c r="E46" s="17"/>
      <c r="F46" s="17"/>
      <c r="G46" s="17"/>
      <c r="H46" s="17"/>
    </row>
    <row r="47" spans="2:8" ht="15.6" x14ac:dyDescent="0.3">
      <c r="B47" s="11" t="s">
        <v>40</v>
      </c>
      <c r="C47" s="10">
        <v>1000</v>
      </c>
      <c r="D47" s="17"/>
      <c r="E47" s="17"/>
      <c r="F47" s="17"/>
      <c r="G47" s="17"/>
      <c r="H47" s="17"/>
    </row>
    <row r="48" spans="2:8" ht="15.6" x14ac:dyDescent="0.3">
      <c r="B48" s="19" t="s">
        <v>41</v>
      </c>
      <c r="C48" s="28">
        <f>C45/C47</f>
        <v>22.62653505774832</v>
      </c>
      <c r="D48" s="17"/>
      <c r="E48" s="17"/>
      <c r="F48" s="17"/>
      <c r="G48" s="17"/>
      <c r="H48" s="17"/>
    </row>
  </sheetData>
  <mergeCells count="1">
    <mergeCell ref="B2:H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8F8C-95E4-4E83-BE56-B488561C133C}">
  <dimension ref="B2:H11"/>
  <sheetViews>
    <sheetView workbookViewId="0">
      <selection activeCell="I6" sqref="I6"/>
    </sheetView>
  </sheetViews>
  <sheetFormatPr defaultRowHeight="14.4" x14ac:dyDescent="0.3"/>
  <cols>
    <col min="2" max="8" width="13.44140625" customWidth="1"/>
  </cols>
  <sheetData>
    <row r="2" spans="2:8" ht="15.6" x14ac:dyDescent="0.3">
      <c r="B2" s="60" t="s">
        <v>42</v>
      </c>
      <c r="C2" s="61"/>
      <c r="D2" s="61"/>
      <c r="E2" s="61"/>
      <c r="F2" s="61"/>
      <c r="G2" s="61"/>
      <c r="H2" s="62"/>
    </row>
    <row r="3" spans="2:8" ht="15.6" x14ac:dyDescent="0.3">
      <c r="B3" t="s">
        <v>20</v>
      </c>
      <c r="C3" s="37">
        <f>'DCF Model'!C26</f>
        <v>8.4880958974074966E-2</v>
      </c>
      <c r="D3" s="31"/>
      <c r="E3" s="31"/>
      <c r="F3" s="31"/>
      <c r="G3" s="31"/>
      <c r="H3" s="31"/>
    </row>
    <row r="4" spans="2:8" ht="15.6" x14ac:dyDescent="0.3">
      <c r="B4" t="s">
        <v>43</v>
      </c>
      <c r="C4" s="38">
        <f>'DCF Model'!C5</f>
        <v>1.7000000000000001E-2</v>
      </c>
      <c r="D4" s="31"/>
      <c r="E4" s="31"/>
      <c r="F4" s="31"/>
      <c r="G4" s="31"/>
      <c r="H4" s="31"/>
    </row>
    <row r="6" spans="2:8" x14ac:dyDescent="0.3">
      <c r="B6" s="36">
        <f>'DCF Model'!C38</f>
        <v>37816.535057748319</v>
      </c>
      <c r="C6" s="34">
        <v>6.5000000000000002E-2</v>
      </c>
      <c r="D6" s="34">
        <v>7.4999999999999997E-2</v>
      </c>
      <c r="E6" s="34">
        <v>8.4900000000000003E-2</v>
      </c>
      <c r="F6" s="34">
        <v>9.5000000000000001E-2</v>
      </c>
      <c r="G6" s="34">
        <v>0.105</v>
      </c>
    </row>
    <row r="7" spans="2:8" x14ac:dyDescent="0.3">
      <c r="B7" s="35">
        <v>1.0999999999999999E-2</v>
      </c>
      <c r="C7" s="32">
        <v>44881.536988892556</v>
      </c>
      <c r="D7" s="32">
        <v>40179.863450427816</v>
      </c>
      <c r="E7" s="32">
        <v>36601.289691539525</v>
      </c>
      <c r="F7" s="32">
        <v>33672.559829777048</v>
      </c>
      <c r="G7" s="32">
        <v>31272.542500977579</v>
      </c>
    </row>
    <row r="8" spans="2:8" x14ac:dyDescent="0.3">
      <c r="B8" s="35">
        <v>1.4E-2</v>
      </c>
      <c r="C8" s="32">
        <v>46066.997040366128</v>
      </c>
      <c r="D8" s="32">
        <v>40985.437790863463</v>
      </c>
      <c r="E8" s="32">
        <v>37179.918137276036</v>
      </c>
      <c r="F8" s="32">
        <v>34101.926677606447</v>
      </c>
      <c r="G8" s="32">
        <v>31601.872226651347</v>
      </c>
    </row>
    <row r="9" spans="2:8" x14ac:dyDescent="0.3">
      <c r="B9" s="35">
        <v>1.7000000000000001E-2</v>
      </c>
      <c r="C9" s="32">
        <v>47400.639598273905</v>
      </c>
      <c r="D9" s="32">
        <v>41874.347407895912</v>
      </c>
      <c r="E9" s="32">
        <v>37809.677226229331</v>
      </c>
      <c r="F9" s="32">
        <v>34564.321744499655</v>
      </c>
      <c r="G9" s="32">
        <v>31953.656251802873</v>
      </c>
    </row>
    <row r="10" spans="2:8" x14ac:dyDescent="0.3">
      <c r="B10" s="35">
        <v>0.02</v>
      </c>
      <c r="C10" s="32">
        <v>48912.10116390272</v>
      </c>
      <c r="D10" s="32">
        <v>42860.228983150068</v>
      </c>
      <c r="E10" s="32">
        <v>38497.65749443871</v>
      </c>
      <c r="F10" s="32">
        <v>35063.708416744324</v>
      </c>
      <c r="G10" s="32">
        <v>32330.272090494505</v>
      </c>
    </row>
    <row r="11" spans="2:8" x14ac:dyDescent="0.3">
      <c r="B11" s="35">
        <v>2.3E-2</v>
      </c>
      <c r="C11" s="32">
        <v>50639.485810335638</v>
      </c>
      <c r="D11" s="32">
        <v>43959.866124779699</v>
      </c>
      <c r="E11" s="32">
        <v>39252.324056820231</v>
      </c>
      <c r="F11" s="32">
        <v>35604.710645009371</v>
      </c>
      <c r="G11" s="32">
        <v>32734.445185675766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8E8B-6086-476E-AA84-A7B7C2859269}">
  <dimension ref="A2:F17"/>
  <sheetViews>
    <sheetView workbookViewId="0">
      <selection activeCell="C19" sqref="C19"/>
    </sheetView>
  </sheetViews>
  <sheetFormatPr defaultRowHeight="14.4" x14ac:dyDescent="0.3"/>
  <cols>
    <col min="2" max="2" width="18.5546875" customWidth="1"/>
    <col min="3" max="3" width="16.33203125" customWidth="1"/>
    <col min="5" max="5" width="25.44140625" customWidth="1"/>
    <col min="6" max="6" width="22.5546875" customWidth="1"/>
  </cols>
  <sheetData>
    <row r="2" spans="1:6" ht="15.6" x14ac:dyDescent="0.3">
      <c r="A2" s="39"/>
      <c r="B2" s="63" t="s">
        <v>44</v>
      </c>
      <c r="C2" s="63"/>
      <c r="D2" s="63"/>
      <c r="E2" s="63"/>
      <c r="F2" s="63"/>
    </row>
    <row r="4" spans="1:6" ht="15.6" x14ac:dyDescent="0.3">
      <c r="B4" s="63" t="s">
        <v>45</v>
      </c>
      <c r="C4" s="63"/>
      <c r="E4" s="63" t="s">
        <v>46</v>
      </c>
      <c r="F4" s="63"/>
    </row>
    <row r="5" spans="1:6" ht="15.6" x14ac:dyDescent="0.3">
      <c r="B5" t="s">
        <v>47</v>
      </c>
      <c r="C5" s="40">
        <v>25000</v>
      </c>
      <c r="D5" s="40"/>
      <c r="E5" t="s">
        <v>48</v>
      </c>
      <c r="F5" s="41">
        <f>C5*C6</f>
        <v>205332.38098101263</v>
      </c>
    </row>
    <row r="6" spans="1:6" ht="15.6" x14ac:dyDescent="0.3">
      <c r="B6" t="s">
        <v>49</v>
      </c>
      <c r="C6" s="42">
        <v>8.2132952392405052</v>
      </c>
      <c r="D6" s="42"/>
      <c r="E6" t="s">
        <v>50</v>
      </c>
      <c r="F6" s="41">
        <f>-C5*C7</f>
        <v>-68750</v>
      </c>
    </row>
    <row r="7" spans="1:6" ht="15.6" x14ac:dyDescent="0.3">
      <c r="B7" t="s">
        <v>51</v>
      </c>
      <c r="C7" s="42">
        <v>2.75</v>
      </c>
      <c r="D7" s="42"/>
      <c r="E7" s="43" t="s">
        <v>52</v>
      </c>
      <c r="F7" s="44">
        <f>SUM(F5:F6)</f>
        <v>136582.38098101263</v>
      </c>
    </row>
    <row r="8" spans="1:6" ht="15.6" x14ac:dyDescent="0.3">
      <c r="B8" t="s">
        <v>53</v>
      </c>
      <c r="C8" s="40">
        <v>10000</v>
      </c>
      <c r="D8" s="40"/>
      <c r="E8" t="s">
        <v>53</v>
      </c>
      <c r="F8" s="41">
        <f>-C8</f>
        <v>-10000</v>
      </c>
    </row>
    <row r="9" spans="1:6" ht="15.6" x14ac:dyDescent="0.3">
      <c r="B9" t="s">
        <v>54</v>
      </c>
      <c r="C9" s="45">
        <v>0.21</v>
      </c>
      <c r="D9" s="45"/>
      <c r="E9" s="43" t="s">
        <v>55</v>
      </c>
      <c r="F9" s="44">
        <f>SUM(F7:F8)</f>
        <v>126582.38098101263</v>
      </c>
    </row>
    <row r="10" spans="1:6" ht="15.6" x14ac:dyDescent="0.3">
      <c r="B10" s="46"/>
      <c r="C10" s="42"/>
      <c r="E10" t="s">
        <v>56</v>
      </c>
      <c r="F10" s="47">
        <f>IF(F9&lt;0,"0", F9*-C9)</f>
        <v>-26582.300006012651</v>
      </c>
    </row>
    <row r="11" spans="1:6" ht="15.6" x14ac:dyDescent="0.3">
      <c r="E11" s="48" t="s">
        <v>57</v>
      </c>
      <c r="F11" s="49">
        <f>SUM(F9:F10)</f>
        <v>100000.08097499998</v>
      </c>
    </row>
    <row r="14" spans="1:6" ht="15.6" x14ac:dyDescent="0.3">
      <c r="B14" s="63" t="s">
        <v>58</v>
      </c>
      <c r="C14" s="63"/>
    </row>
    <row r="15" spans="1:6" ht="15.6" x14ac:dyDescent="0.3">
      <c r="B15" t="s">
        <v>59</v>
      </c>
      <c r="C15" s="40">
        <v>100000</v>
      </c>
    </row>
    <row r="16" spans="1:6" ht="15.6" x14ac:dyDescent="0.3">
      <c r="B16" t="s">
        <v>47</v>
      </c>
      <c r="C16" s="40">
        <v>25000</v>
      </c>
    </row>
    <row r="17" spans="2:3" ht="15.6" x14ac:dyDescent="0.3">
      <c r="B17" t="s">
        <v>49</v>
      </c>
      <c r="C17" s="42">
        <v>10</v>
      </c>
    </row>
  </sheetData>
  <mergeCells count="4">
    <mergeCell ref="B2:F2"/>
    <mergeCell ref="B4:C4"/>
    <mergeCell ref="E4:F4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0938-5C21-4FEA-B23B-F853232F4092}">
  <dimension ref="B2:J18"/>
  <sheetViews>
    <sheetView workbookViewId="0">
      <selection activeCell="D4" sqref="D4"/>
    </sheetView>
  </sheetViews>
  <sheetFormatPr defaultRowHeight="14.4" x14ac:dyDescent="0.3"/>
  <cols>
    <col min="1" max="5" width="21.5546875" customWidth="1"/>
    <col min="6" max="6" width="14.6640625" customWidth="1"/>
  </cols>
  <sheetData>
    <row r="2" spans="2:10" ht="15.6" x14ac:dyDescent="0.3">
      <c r="B2" s="63" t="s">
        <v>60</v>
      </c>
      <c r="C2" s="63"/>
      <c r="D2" s="63"/>
      <c r="E2" s="63"/>
    </row>
    <row r="3" spans="2:10" ht="15.6" x14ac:dyDescent="0.3">
      <c r="B3" s="50" t="s">
        <v>61</v>
      </c>
      <c r="C3" s="59">
        <v>46221</v>
      </c>
      <c r="D3" s="59">
        <v>46587</v>
      </c>
      <c r="E3" s="59">
        <v>46954</v>
      </c>
    </row>
    <row r="4" spans="2:10" x14ac:dyDescent="0.3">
      <c r="B4" t="s">
        <v>62</v>
      </c>
      <c r="C4" s="41">
        <f>CHOOSE($D$8,C11,C12,C13)</f>
        <v>50000</v>
      </c>
      <c r="D4" s="41">
        <f t="shared" ref="D4:E4" si="0">CHOOSE($D$8,D11,D12,D13)</f>
        <v>125000</v>
      </c>
      <c r="E4" s="41">
        <f t="shared" si="0"/>
        <v>250000</v>
      </c>
    </row>
    <row r="5" spans="2:10" x14ac:dyDescent="0.3">
      <c r="B5" t="s">
        <v>63</v>
      </c>
      <c r="C5" s="41">
        <f>CHOOSE($D$8,C16,C17,C18)</f>
        <v>-5000</v>
      </c>
      <c r="D5" s="41">
        <f t="shared" ref="D5:E5" si="1">CHOOSE($D$8,D16,D17,D18)</f>
        <v>-12500</v>
      </c>
      <c r="E5" s="41">
        <f t="shared" si="1"/>
        <v>-25000</v>
      </c>
    </row>
    <row r="6" spans="2:10" ht="15.6" x14ac:dyDescent="0.3">
      <c r="B6" s="48" t="s">
        <v>57</v>
      </c>
      <c r="C6" s="49">
        <f>SUM(C4:C5)</f>
        <v>45000</v>
      </c>
      <c r="D6" s="49">
        <f t="shared" ref="D6:E6" si="2">SUM(D4:D5)</f>
        <v>112500</v>
      </c>
      <c r="E6" s="49">
        <f t="shared" si="2"/>
        <v>225000</v>
      </c>
    </row>
    <row r="7" spans="2:10" ht="15" thickBot="1" x14ac:dyDescent="0.35">
      <c r="J7" s="58"/>
    </row>
    <row r="8" spans="2:10" ht="15" thickBot="1" x14ac:dyDescent="0.35">
      <c r="B8" s="64" t="s">
        <v>69</v>
      </c>
      <c r="C8" s="65"/>
      <c r="D8" s="64">
        <v>1</v>
      </c>
      <c r="E8" s="65"/>
      <c r="J8" s="58"/>
    </row>
    <row r="9" spans="2:10" x14ac:dyDescent="0.3">
      <c r="J9" s="58"/>
    </row>
    <row r="10" spans="2:10" ht="15.6" x14ac:dyDescent="0.3">
      <c r="B10" s="51" t="s">
        <v>64</v>
      </c>
      <c r="C10" s="52"/>
      <c r="D10" s="52"/>
      <c r="E10" s="52"/>
    </row>
    <row r="11" spans="2:10" ht="15.6" x14ac:dyDescent="0.3">
      <c r="B11" s="53" t="s">
        <v>65</v>
      </c>
      <c r="C11" s="54">
        <v>50000</v>
      </c>
      <c r="D11" s="54">
        <v>125000</v>
      </c>
      <c r="E11" s="54">
        <v>250000</v>
      </c>
      <c r="F11" s="55"/>
    </row>
    <row r="12" spans="2:10" ht="15.6" x14ac:dyDescent="0.3">
      <c r="B12" s="53" t="s">
        <v>66</v>
      </c>
      <c r="C12" s="54">
        <v>25000</v>
      </c>
      <c r="D12" s="54">
        <v>37500</v>
      </c>
      <c r="E12" s="54">
        <v>50000</v>
      </c>
      <c r="F12" s="55"/>
    </row>
    <row r="13" spans="2:10" ht="15.6" x14ac:dyDescent="0.3">
      <c r="B13" s="53" t="s">
        <v>67</v>
      </c>
      <c r="C13" s="54">
        <v>12500</v>
      </c>
      <c r="D13" s="54">
        <v>13000</v>
      </c>
      <c r="E13" s="54">
        <v>13250</v>
      </c>
      <c r="F13" s="55"/>
    </row>
    <row r="14" spans="2:10" ht="15.6" x14ac:dyDescent="0.3">
      <c r="B14" s="56"/>
      <c r="C14" s="57"/>
      <c r="D14" s="57"/>
      <c r="E14" s="57"/>
    </row>
    <row r="15" spans="2:10" ht="15.6" x14ac:dyDescent="0.3">
      <c r="B15" s="51" t="s">
        <v>68</v>
      </c>
      <c r="C15" s="57"/>
      <c r="D15" s="57"/>
      <c r="E15" s="57"/>
    </row>
    <row r="16" spans="2:10" ht="15.6" x14ac:dyDescent="0.3">
      <c r="B16" s="53" t="s">
        <v>65</v>
      </c>
      <c r="C16" s="54">
        <v>-5000</v>
      </c>
      <c r="D16" s="54">
        <v>-12500</v>
      </c>
      <c r="E16" s="54">
        <v>-25000</v>
      </c>
      <c r="F16" s="55"/>
    </row>
    <row r="17" spans="2:6" ht="15.6" x14ac:dyDescent="0.3">
      <c r="B17" s="53" t="s">
        <v>66</v>
      </c>
      <c r="C17" s="54">
        <v>-16000</v>
      </c>
      <c r="D17" s="54">
        <v>-25000</v>
      </c>
      <c r="E17" s="54">
        <v>-37500</v>
      </c>
      <c r="F17" s="55"/>
    </row>
    <row r="18" spans="2:6" ht="15.6" x14ac:dyDescent="0.3">
      <c r="B18" s="53" t="s">
        <v>67</v>
      </c>
      <c r="C18" s="54">
        <v>-22500</v>
      </c>
      <c r="D18" s="54">
        <v>-30000</v>
      </c>
      <c r="E18" s="54">
        <v>-45000</v>
      </c>
      <c r="F18" s="55"/>
    </row>
  </sheetData>
  <mergeCells count="3">
    <mergeCell ref="B2:E2"/>
    <mergeCell ref="B8:C8"/>
    <mergeCell ref="D8:E8"/>
  </mergeCells>
  <dataValidations count="1">
    <dataValidation type="list" allowBlank="1" showInputMessage="1" showErrorMessage="1" sqref="D8:E8" xr:uid="{A91217D3-CE85-47C8-ADF5-B4E9B21D211C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FC4-19CB-4429-B1CA-F5DF5C4E9D53}">
  <dimension ref="B2:G43"/>
  <sheetViews>
    <sheetView tabSelected="1" topLeftCell="A8" workbookViewId="0">
      <selection activeCell="K27" sqref="K27"/>
    </sheetView>
  </sheetViews>
  <sheetFormatPr defaultColWidth="12.44140625" defaultRowHeight="14.4" x14ac:dyDescent="0.3"/>
  <cols>
    <col min="1" max="1" width="4.109375" customWidth="1"/>
    <col min="2" max="7" width="17.88671875" customWidth="1"/>
  </cols>
  <sheetData>
    <row r="2" spans="2:5" ht="23.4" x14ac:dyDescent="0.45">
      <c r="B2" s="66" t="s">
        <v>70</v>
      </c>
      <c r="C2" s="67"/>
      <c r="D2" s="67"/>
      <c r="E2" s="67"/>
    </row>
    <row r="4" spans="2:5" ht="15.6" x14ac:dyDescent="0.3">
      <c r="B4" s="68" t="s">
        <v>71</v>
      </c>
      <c r="C4" s="68" t="s">
        <v>72</v>
      </c>
    </row>
    <row r="5" spans="2:5" x14ac:dyDescent="0.3">
      <c r="B5" s="69">
        <v>44286</v>
      </c>
      <c r="C5" s="70">
        <v>98997</v>
      </c>
    </row>
    <row r="6" spans="2:5" x14ac:dyDescent="0.3">
      <c r="B6" s="69">
        <v>44377</v>
      </c>
      <c r="C6" s="70">
        <v>114698</v>
      </c>
    </row>
    <row r="7" spans="2:5" x14ac:dyDescent="0.3">
      <c r="B7" s="69">
        <v>44469</v>
      </c>
      <c r="C7" s="70">
        <v>124669</v>
      </c>
    </row>
    <row r="8" spans="2:5" x14ac:dyDescent="0.3">
      <c r="B8" s="69">
        <v>44561</v>
      </c>
      <c r="C8" s="70">
        <v>99765</v>
      </c>
    </row>
    <row r="9" spans="2:5" x14ac:dyDescent="0.3">
      <c r="B9" s="69">
        <v>44651</v>
      </c>
      <c r="C9" s="70">
        <v>87992</v>
      </c>
    </row>
    <row r="10" spans="2:5" x14ac:dyDescent="0.3">
      <c r="B10" s="69">
        <v>44742</v>
      </c>
      <c r="C10" s="70">
        <v>89992</v>
      </c>
    </row>
    <row r="11" spans="2:5" x14ac:dyDescent="0.3">
      <c r="B11" s="69">
        <v>44834</v>
      </c>
      <c r="C11" s="70">
        <v>134675</v>
      </c>
      <c r="D11" s="71"/>
    </row>
    <row r="12" spans="2:5" x14ac:dyDescent="0.3">
      <c r="B12" s="69">
        <v>44926</v>
      </c>
      <c r="C12" s="70">
        <v>105999</v>
      </c>
      <c r="D12" s="71"/>
    </row>
    <row r="13" spans="2:5" x14ac:dyDescent="0.3">
      <c r="B13" s="69">
        <v>45016</v>
      </c>
      <c r="C13" s="70">
        <v>95888</v>
      </c>
      <c r="D13" s="71"/>
    </row>
    <row r="14" spans="2:5" x14ac:dyDescent="0.3">
      <c r="B14" s="69">
        <v>45107</v>
      </c>
      <c r="C14" s="70">
        <v>109889</v>
      </c>
      <c r="D14" s="71"/>
    </row>
    <row r="15" spans="2:5" x14ac:dyDescent="0.3">
      <c r="B15" s="69">
        <v>45199</v>
      </c>
      <c r="C15" s="70">
        <v>175669</v>
      </c>
      <c r="D15" s="71"/>
    </row>
    <row r="16" spans="2:5" x14ac:dyDescent="0.3">
      <c r="B16" s="69">
        <v>45291</v>
      </c>
      <c r="C16" s="70">
        <v>109885</v>
      </c>
      <c r="D16" s="71"/>
    </row>
    <row r="17" spans="2:7" x14ac:dyDescent="0.3">
      <c r="B17" s="69">
        <v>45382</v>
      </c>
      <c r="C17" s="70">
        <v>113225</v>
      </c>
      <c r="D17" s="71"/>
    </row>
    <row r="18" spans="2:7" x14ac:dyDescent="0.3">
      <c r="B18" s="69">
        <v>45473</v>
      </c>
      <c r="C18" s="70">
        <v>149889</v>
      </c>
      <c r="D18" s="71"/>
    </row>
    <row r="19" spans="2:7" x14ac:dyDescent="0.3">
      <c r="B19" s="69">
        <v>45565</v>
      </c>
      <c r="C19" s="70">
        <v>175998</v>
      </c>
      <c r="D19" s="71"/>
    </row>
    <row r="20" spans="2:7" x14ac:dyDescent="0.3">
      <c r="B20" s="69">
        <v>45657</v>
      </c>
      <c r="C20" s="70">
        <v>142550</v>
      </c>
      <c r="D20" s="71"/>
    </row>
    <row r="21" spans="2:7" x14ac:dyDescent="0.3">
      <c r="D21" s="72"/>
    </row>
    <row r="22" spans="2:7" x14ac:dyDescent="0.3">
      <c r="D22" s="72"/>
    </row>
    <row r="23" spans="2:7" ht="15.6" x14ac:dyDescent="0.3">
      <c r="B23" s="68" t="s">
        <v>71</v>
      </c>
      <c r="C23" s="68" t="s">
        <v>73</v>
      </c>
      <c r="D23" s="68" t="s">
        <v>74</v>
      </c>
      <c r="F23" s="68" t="s">
        <v>75</v>
      </c>
      <c r="G23" s="68" t="s">
        <v>76</v>
      </c>
    </row>
    <row r="24" spans="2:7" x14ac:dyDescent="0.3">
      <c r="B24" s="69">
        <v>45747</v>
      </c>
      <c r="C24" s="73">
        <f>_xlfn.FORECAST.LINEAR(B24,$C$5:$C$20,$B$5:$B$20)</f>
        <v>149924.74872790929</v>
      </c>
      <c r="D24" s="73">
        <f>_xlfn.FORECAST.ETS(B24,$C$5:$C$20,$B$5:$B$20)</f>
        <v>137425.70055998367</v>
      </c>
      <c r="E24" s="73">
        <f>_xlfn.FORECAST.ETS.CONFINT(B24,$C$5:$C$20,$B$5:$B$20,99%)</f>
        <v>42496.050441115207</v>
      </c>
      <c r="F24" s="74">
        <f>D24+E24</f>
        <v>179921.75100109889</v>
      </c>
      <c r="G24" s="74">
        <f>D24-E24</f>
        <v>94929.650118868463</v>
      </c>
    </row>
    <row r="25" spans="2:7" x14ac:dyDescent="0.3">
      <c r="B25" s="69">
        <v>45838</v>
      </c>
      <c r="C25" s="73">
        <f t="shared" ref="C25:C31" si="0">_xlfn.FORECAST.LINEAR(B25,$C$5:$C$20,$B$5:$B$20)</f>
        <v>153362.28530553775</v>
      </c>
      <c r="D25" s="73">
        <f t="shared" ref="D25:D31" si="1">_xlfn.FORECAST.ETS(B25,$C$5:$C$20,$B$5:$B$20)</f>
        <v>173126.20038627624</v>
      </c>
      <c r="E25" s="73">
        <f t="shared" ref="E25:E31" si="2">_xlfn.FORECAST.ETS.CONFINT(B25,$C$5:$C$20,$B$5:$B$20,99%)</f>
        <v>47441.553563607471</v>
      </c>
      <c r="F25" s="74">
        <f t="shared" ref="F25:F31" si="3">D25+E25</f>
        <v>220567.75394988371</v>
      </c>
      <c r="G25" s="74">
        <f t="shared" ref="G25:G31" si="4">D25-E25</f>
        <v>125684.64682266876</v>
      </c>
    </row>
    <row r="26" spans="2:7" x14ac:dyDescent="0.3">
      <c r="B26" s="69">
        <v>45930</v>
      </c>
      <c r="C26" s="73">
        <f t="shared" si="0"/>
        <v>156837.59701039316</v>
      </c>
      <c r="D26" s="73">
        <f t="shared" si="1"/>
        <v>203835.99420909263</v>
      </c>
      <c r="E26" s="73">
        <f t="shared" si="2"/>
        <v>57052.802394846323</v>
      </c>
      <c r="F26" s="74">
        <f t="shared" si="3"/>
        <v>260888.79660393897</v>
      </c>
      <c r="G26" s="74">
        <f t="shared" si="4"/>
        <v>146783.1918142463</v>
      </c>
    </row>
    <row r="27" spans="2:7" x14ac:dyDescent="0.3">
      <c r="B27" s="69">
        <v>46022</v>
      </c>
      <c r="C27" s="73">
        <f t="shared" si="0"/>
        <v>160312.90871524834</v>
      </c>
      <c r="D27" s="73">
        <f t="shared" si="1"/>
        <v>170665.09537797375</v>
      </c>
      <c r="E27" s="73">
        <f t="shared" si="2"/>
        <v>71141.409300214465</v>
      </c>
      <c r="F27" s="74">
        <f t="shared" si="3"/>
        <v>241806.50467818821</v>
      </c>
      <c r="G27" s="74">
        <f t="shared" si="4"/>
        <v>99523.686077759281</v>
      </c>
    </row>
    <row r="28" spans="2:7" x14ac:dyDescent="0.3">
      <c r="B28" s="69">
        <v>46112</v>
      </c>
      <c r="C28" s="73">
        <f t="shared" si="0"/>
        <v>163712.67016565008</v>
      </c>
      <c r="D28" s="73">
        <f t="shared" si="1"/>
        <v>165558.78439930358</v>
      </c>
      <c r="E28" s="73">
        <f t="shared" si="2"/>
        <v>110673.77372888112</v>
      </c>
      <c r="F28" s="74">
        <f t="shared" si="3"/>
        <v>276232.5581281847</v>
      </c>
      <c r="G28" s="74">
        <f t="shared" si="4"/>
        <v>54885.01067042246</v>
      </c>
    </row>
    <row r="29" spans="2:7" x14ac:dyDescent="0.3">
      <c r="B29" s="69">
        <v>46203</v>
      </c>
      <c r="C29" s="73">
        <f t="shared" si="0"/>
        <v>167150.20674327877</v>
      </c>
      <c r="D29" s="73">
        <f t="shared" si="1"/>
        <v>201259.28422559614</v>
      </c>
      <c r="E29" s="73">
        <f t="shared" si="2"/>
        <v>127440.47777712946</v>
      </c>
      <c r="F29" s="74">
        <f t="shared" si="3"/>
        <v>328699.76200272562</v>
      </c>
      <c r="G29" s="74">
        <f t="shared" si="4"/>
        <v>73818.806448466683</v>
      </c>
    </row>
    <row r="30" spans="2:7" x14ac:dyDescent="0.3">
      <c r="B30" s="69">
        <v>46295</v>
      </c>
      <c r="C30" s="73">
        <f t="shared" si="0"/>
        <v>170625.51844813395</v>
      </c>
      <c r="D30" s="73">
        <f t="shared" si="1"/>
        <v>231969.07804841254</v>
      </c>
      <c r="E30" s="73">
        <f t="shared" si="2"/>
        <v>147370.27288943387</v>
      </c>
      <c r="F30" s="74">
        <f t="shared" si="3"/>
        <v>379339.35093784641</v>
      </c>
      <c r="G30" s="74">
        <f t="shared" si="4"/>
        <v>84598.805158978677</v>
      </c>
    </row>
    <row r="31" spans="2:7" x14ac:dyDescent="0.3">
      <c r="B31" s="69">
        <v>46387</v>
      </c>
      <c r="C31" s="73">
        <f t="shared" si="0"/>
        <v>174100.83015298913</v>
      </c>
      <c r="D31" s="73">
        <f t="shared" si="1"/>
        <v>198798.17921729368</v>
      </c>
      <c r="E31" s="73">
        <f t="shared" si="2"/>
        <v>170149.58499546218</v>
      </c>
      <c r="F31" s="74">
        <f t="shared" si="3"/>
        <v>368947.76421275584</v>
      </c>
      <c r="G31" s="74">
        <f t="shared" si="4"/>
        <v>28648.594221831503</v>
      </c>
    </row>
    <row r="32" spans="2:7" x14ac:dyDescent="0.3">
      <c r="D32" s="72"/>
    </row>
    <row r="33" spans="2:4" x14ac:dyDescent="0.3">
      <c r="B33" s="69"/>
      <c r="D33" s="72"/>
    </row>
    <row r="34" spans="2:4" x14ac:dyDescent="0.3">
      <c r="B34" s="69"/>
      <c r="D34" s="72"/>
    </row>
    <row r="35" spans="2:4" x14ac:dyDescent="0.3">
      <c r="B35" s="69"/>
      <c r="D35" s="72"/>
    </row>
    <row r="36" spans="2:4" x14ac:dyDescent="0.3">
      <c r="B36" s="69"/>
      <c r="C36" s="73"/>
    </row>
    <row r="37" spans="2:4" x14ac:dyDescent="0.3">
      <c r="B37" s="69"/>
      <c r="C37" s="73"/>
    </row>
    <row r="38" spans="2:4" x14ac:dyDescent="0.3">
      <c r="B38" s="69"/>
      <c r="C38" s="73"/>
    </row>
    <row r="39" spans="2:4" x14ac:dyDescent="0.3">
      <c r="B39" s="69"/>
      <c r="C39" s="73"/>
    </row>
    <row r="40" spans="2:4" x14ac:dyDescent="0.3">
      <c r="B40" s="69"/>
      <c r="C40" s="73"/>
    </row>
    <row r="41" spans="2:4" x14ac:dyDescent="0.3">
      <c r="B41" s="69"/>
      <c r="C41" s="73"/>
    </row>
    <row r="42" spans="2:4" x14ac:dyDescent="0.3">
      <c r="B42" s="69"/>
      <c r="C42" s="73"/>
    </row>
    <row r="43" spans="2:4" x14ac:dyDescent="0.3">
      <c r="B43" s="69"/>
      <c r="C43" s="7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 Analysis</vt:lpstr>
      <vt:lpstr>Goal Seek</vt:lpstr>
      <vt:lpstr>Scenario Analysis</vt:lpstr>
      <vt:lpstr>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Priya</dc:creator>
  <cp:lastModifiedBy>Kashish Priya</cp:lastModifiedBy>
  <dcterms:created xsi:type="dcterms:W3CDTF">2025-11-23T10:42:10Z</dcterms:created>
  <dcterms:modified xsi:type="dcterms:W3CDTF">2026-02-10T03:07:31Z</dcterms:modified>
</cp:coreProperties>
</file>